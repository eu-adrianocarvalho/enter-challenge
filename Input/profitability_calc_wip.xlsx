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7e49a795eec1ecd/Documentos/Enter/Input/"/>
    </mc:Choice>
  </mc:AlternateContent>
  <xr:revisionPtr revIDLastSave="30" documentId="11_6121A71B7AFB0898F74B865D48ABCE1F8316A9B3" xr6:coauthVersionLast="47" xr6:coauthVersionMax="47" xr10:uidLastSave="{0C8E46AD-9CF7-4AB2-B907-8B74BF3ED2C1}"/>
  <bookViews>
    <workbookView xWindow="-108" yWindow="-108" windowWidth="23256" windowHeight="13896" xr2:uid="{00000000-000D-0000-FFFF-FFFF00000000}"/>
  </bookViews>
  <sheets>
    <sheet name="profitability_calc_w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9" i="1"/>
  <c r="E13" i="1"/>
  <c r="E2" i="1"/>
</calcChain>
</file>

<file path=xl/sharedStrings.xml><?xml version="1.0" encoding="utf-8"?>
<sst xmlns="http://schemas.openxmlformats.org/spreadsheetml/2006/main" count="36" uniqueCount="25">
  <si>
    <t>Asset class</t>
  </si>
  <si>
    <t>Asset</t>
  </si>
  <si>
    <t>Current price</t>
  </si>
  <si>
    <t>Last month price</t>
  </si>
  <si>
    <t>Stocks</t>
  </si>
  <si>
    <t>LREN3</t>
  </si>
  <si>
    <t>GGBR4</t>
  </si>
  <si>
    <t>ARZZ3</t>
  </si>
  <si>
    <t>ABEV3</t>
  </si>
  <si>
    <t>14.32</t>
  </si>
  <si>
    <t>PETR4</t>
  </si>
  <si>
    <t>37.12</t>
  </si>
  <si>
    <t>34.8</t>
  </si>
  <si>
    <t>VALE3</t>
  </si>
  <si>
    <t>63.45</t>
  </si>
  <si>
    <t>61.1</t>
  </si>
  <si>
    <t>ITUB4</t>
  </si>
  <si>
    <t>MRFG3</t>
  </si>
  <si>
    <t>WEGE3</t>
  </si>
  <si>
    <t>42.6</t>
  </si>
  <si>
    <t>41.2</t>
  </si>
  <si>
    <t>B3SA3</t>
  </si>
  <si>
    <t>11.75</t>
  </si>
  <si>
    <t>BBAS3</t>
  </si>
  <si>
    <t>HAPV3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</si>
</sst>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C2" sqref="C2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1" t="s">
        <v>4</v>
      </c>
      <c r="B2" s="1" t="s">
        <v>5</v>
      </c>
      <c r="C2" s="1">
        <v>16.940000000000001</v>
      </c>
      <c r="D2" s="1">
        <v>15.55</v>
      </c>
      <c r="E2" s="1">
        <f>(C2-D2)/D2</f>
        <v>8.9389067524115795E-2</v>
      </c>
    </row>
    <row r="3" spans="1:5" x14ac:dyDescent="0.25">
      <c r="A3" s="1" t="s">
        <v>4</v>
      </c>
      <c r="B3" s="1" t="s">
        <v>6</v>
      </c>
      <c r="C3" s="1">
        <v>23.45</v>
      </c>
      <c r="D3" s="2">
        <v>22.9</v>
      </c>
    </row>
    <row r="4" spans="1:5" x14ac:dyDescent="0.25">
      <c r="A4" s="1" t="s">
        <v>4</v>
      </c>
      <c r="B4" s="1" t="s">
        <v>7</v>
      </c>
      <c r="C4" s="1">
        <v>56.58</v>
      </c>
      <c r="D4" s="1">
        <v>56.55</v>
      </c>
      <c r="E4" s="1">
        <f>(C4-D4)/D4</f>
        <v>5.3050397877986097E-4</v>
      </c>
    </row>
    <row r="5" spans="1:5" x14ac:dyDescent="0.25">
      <c r="A5" s="1" t="s">
        <v>4</v>
      </c>
      <c r="B5" s="1" t="s">
        <v>8</v>
      </c>
      <c r="C5" s="1" t="s">
        <v>9</v>
      </c>
      <c r="D5" s="2">
        <v>46155</v>
      </c>
    </row>
    <row r="6" spans="1:5" x14ac:dyDescent="0.25">
      <c r="A6" s="1" t="s">
        <v>4</v>
      </c>
      <c r="B6" s="1" t="s">
        <v>10</v>
      </c>
      <c r="C6" s="1" t="s">
        <v>11</v>
      </c>
      <c r="D6" s="1" t="s">
        <v>12</v>
      </c>
    </row>
    <row r="7" spans="1:5" x14ac:dyDescent="0.25">
      <c r="A7" s="1" t="s">
        <v>4</v>
      </c>
      <c r="B7" s="1" t="s">
        <v>13</v>
      </c>
      <c r="C7" s="1" t="s">
        <v>14</v>
      </c>
      <c r="D7" s="1" t="s">
        <v>15</v>
      </c>
    </row>
    <row r="8" spans="1:5" x14ac:dyDescent="0.25">
      <c r="A8" s="1" t="s">
        <v>4</v>
      </c>
      <c r="B8" s="1" t="s">
        <v>16</v>
      </c>
      <c r="C8" s="1">
        <v>27.8</v>
      </c>
      <c r="D8" s="2">
        <v>46291</v>
      </c>
    </row>
    <row r="9" spans="1:5" x14ac:dyDescent="0.25">
      <c r="A9" s="1" t="s">
        <v>4</v>
      </c>
      <c r="B9" s="1" t="s">
        <v>17</v>
      </c>
      <c r="C9" s="1">
        <v>10.26</v>
      </c>
      <c r="D9" s="1">
        <v>12.27</v>
      </c>
      <c r="E9" s="1">
        <f>(C9-D9)/D9</f>
        <v>-0.16381418092909533</v>
      </c>
    </row>
    <row r="10" spans="1:5" x14ac:dyDescent="0.25">
      <c r="A10" s="1" t="s">
        <v>4</v>
      </c>
      <c r="B10" s="1" t="s">
        <v>18</v>
      </c>
      <c r="C10" s="1" t="s">
        <v>19</v>
      </c>
      <c r="D10" s="1" t="s">
        <v>20</v>
      </c>
    </row>
    <row r="11" spans="1:5" x14ac:dyDescent="0.25">
      <c r="A11" s="1" t="s">
        <v>4</v>
      </c>
      <c r="B11" s="1" t="s">
        <v>21</v>
      </c>
      <c r="C11" s="3">
        <v>46154</v>
      </c>
      <c r="D11" s="1" t="s">
        <v>22</v>
      </c>
    </row>
    <row r="12" spans="1:5" x14ac:dyDescent="0.25">
      <c r="A12" s="1" t="s">
        <v>4</v>
      </c>
      <c r="B12" s="1" t="s">
        <v>23</v>
      </c>
      <c r="C12" s="2">
        <v>46109</v>
      </c>
      <c r="D12" s="2">
        <v>46291</v>
      </c>
    </row>
    <row r="13" spans="1:5" x14ac:dyDescent="0.25">
      <c r="A13" s="1" t="s">
        <v>4</v>
      </c>
      <c r="B13" s="1" t="s">
        <v>24</v>
      </c>
      <c r="C13" s="1">
        <v>3.97</v>
      </c>
      <c r="D13" s="1">
        <v>2.25</v>
      </c>
      <c r="E13" s="1">
        <f>(C13-D13)/D13</f>
        <v>0.76444444444444448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profitability_calc_wip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Artificial Inteligence</cp:lastModifiedBy>
  <dcterms:modified xsi:type="dcterms:W3CDTF">2026-09-29T20:03:41Z</dcterms:modified>
</cp:coreProperties>
</file>